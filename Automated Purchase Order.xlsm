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andon/Desktop/"/>
    </mc:Choice>
  </mc:AlternateContent>
  <xr:revisionPtr revIDLastSave="0" documentId="8_{107D4F1A-1F51-304A-A04F-64001609DDEC}" xr6:coauthVersionLast="47" xr6:coauthVersionMax="47" xr10:uidLastSave="{00000000-0000-0000-0000-000000000000}"/>
  <bookViews>
    <workbookView xWindow="1560" yWindow="460" windowWidth="20920" windowHeight="17100" xr2:uid="{CDF99B13-D553-4910-8C14-F23A2A26F71D}"/>
  </bookViews>
  <sheets>
    <sheet name="Purchase Order" sheetId="1" r:id="rId1"/>
    <sheet name="PO List" sheetId="4" r:id="rId2"/>
    <sheet name="Vendors" sheetId="5" r:id="rId3"/>
    <sheet name="Items" sheetId="3" r:id="rId4"/>
    <sheet name="Purchased Items" sheetId="2" r:id="rId5"/>
    <sheet name="Sold Items" sheetId="6" r:id="rId6"/>
  </sheets>
  <definedNames>
    <definedName name="_xlnm._FilterDatabase" localSheetId="3" hidden="1">Items!$A$2:$G$15</definedName>
    <definedName name="_xlnm._FilterDatabase" localSheetId="4" hidden="1">'Purchased Items'!$A$2:$G$16</definedName>
    <definedName name="_xlnm.Criteria" localSheetId="3">Items!$I$2:$I$3</definedName>
    <definedName name="_xlnm.Criteria" localSheetId="4">'Purchased Items'!$I$2:$I$3</definedName>
    <definedName name="_xlnm.Extract" localSheetId="3">Items!$L$2:$R$2</definedName>
    <definedName name="_xlnm.Extract" localSheetId="4">'Purchased Items'!$K$2:$Q$2</definedName>
    <definedName name="Item_Name">OFFSET(Items!$A$2,1,,COUNTA(Items!$A$2:$A$999)-1,1)</definedName>
    <definedName name="ItemsPurch">OFFSET('Purchased Items'!$D$2,1,,COUNTA('Purchased Items'!$D$2:$D$9999)-1,1)</definedName>
    <definedName name="ItemsSold">OFFSET('Sold Items'!$D$2,1,,COUNTA('Sold Items'!$D$2:$D$999)-1,1)</definedName>
    <definedName name="PONumb">OFFSET('PO List'!$A$2,1,,COUNTA('PO List'!$A$2:$A$999)-1,1)</definedName>
    <definedName name="_xlnm.Print_Area" localSheetId="0">'Purchase Order'!$D$2:$H$27</definedName>
    <definedName name="PurchItemName">OFFSET('Purchased Items'!$B$2,1,,COUNTA('Purchased Items'!$B$2:$B$9999)-1,1)</definedName>
    <definedName name="SoldItemName">OFFSET('Sold Items'!$C$2,1,,COUNTA('Sold Items'!$C$2:$C$9999)-1,1)</definedName>
    <definedName name="Vendor_Name">OFFSET(Vendors!$A$2,1,,COUNTA(Vendors!$A$2:$A$999)-1,1)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2" l="1"/>
  <c r="G15" i="2"/>
  <c r="I3" i="3"/>
  <c r="G14" i="2" l="1"/>
  <c r="G13" i="2"/>
  <c r="G12" i="2"/>
  <c r="G11" i="2"/>
  <c r="G10" i="2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3" i="3" a="1"/>
  <c r="F3" i="3" s="1"/>
  <c r="H13" i="1"/>
  <c r="G9" i="2"/>
  <c r="G8" i="2"/>
  <c r="G7" i="2"/>
  <c r="G6" i="2"/>
  <c r="I3" i="2"/>
  <c r="G5" i="2"/>
  <c r="G4" i="2"/>
  <c r="G3" i="2"/>
  <c r="H24" i="1"/>
  <c r="H23" i="1"/>
  <c r="H22" i="1"/>
  <c r="H21" i="1"/>
  <c r="H20" i="1"/>
  <c r="H19" i="1"/>
  <c r="H18" i="1"/>
  <c r="H17" i="1"/>
  <c r="H16" i="1"/>
  <c r="H15" i="1"/>
  <c r="H14" i="1"/>
  <c r="H12" i="1"/>
  <c r="H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11" i="1"/>
  <c r="B3" i="1"/>
  <c r="B2" i="1"/>
  <c r="B6" i="1"/>
  <c r="H25" i="1" l="1"/>
  <c r="H26" i="1" s="1"/>
  <c r="H2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<sst xmlns="http://schemas.openxmlformats.org/spreadsheetml/2006/main" count="233" uniqueCount="122">
  <si>
    <t>AUTOMATED PURCHASE ORDER</t>
  </si>
  <si>
    <t>PURCHASE ORDER</t>
  </si>
  <si>
    <t>PO #:</t>
  </si>
  <si>
    <t>PO Date:</t>
  </si>
  <si>
    <t xml:space="preserve">Status: </t>
  </si>
  <si>
    <t>Open</t>
  </si>
  <si>
    <t>12345 Main St.</t>
  </si>
  <si>
    <t>Anytown, CA USA</t>
  </si>
  <si>
    <t>Fredders T-Shirts Inc.</t>
  </si>
  <si>
    <t>VENDOR</t>
  </si>
  <si>
    <t>Vendor</t>
  </si>
  <si>
    <t>DELIVERY ADDRESS</t>
  </si>
  <si>
    <t>ITEM</t>
  </si>
  <si>
    <t>DESCRIPTION</t>
  </si>
  <si>
    <t>Qty</t>
  </si>
  <si>
    <t>Price</t>
  </si>
  <si>
    <t>QTY</t>
  </si>
  <si>
    <t>PRICE</t>
  </si>
  <si>
    <t>TOTAL</t>
  </si>
  <si>
    <t>PO Subtotal:</t>
  </si>
  <si>
    <t>Order Total:</t>
  </si>
  <si>
    <t>Notes:</t>
  </si>
  <si>
    <t>Tax:</t>
  </si>
  <si>
    <t xml:space="preserve">Item Row </t>
  </si>
  <si>
    <t>Db Row</t>
  </si>
  <si>
    <t>Purchase Items</t>
  </si>
  <si>
    <t>PO #</t>
  </si>
  <si>
    <t>Item</t>
  </si>
  <si>
    <t>Description</t>
  </si>
  <si>
    <t>PO Row</t>
  </si>
  <si>
    <t>Row</t>
  </si>
  <si>
    <t>Item List</t>
  </si>
  <si>
    <t>Item Name</t>
  </si>
  <si>
    <t>Item Description</t>
  </si>
  <si>
    <t>Sales Price</t>
  </si>
  <si>
    <t>Min. Stock Level</t>
  </si>
  <si>
    <t>Vend Row</t>
  </si>
  <si>
    <t>Purchase Orders</t>
  </si>
  <si>
    <t>PO Date</t>
  </si>
  <si>
    <t>Status</t>
  </si>
  <si>
    <t>Del. Add 1</t>
  </si>
  <si>
    <t>Del. Add 2</t>
  </si>
  <si>
    <t>Del. Add 3</t>
  </si>
  <si>
    <t>New PO</t>
  </si>
  <si>
    <t>PO Load</t>
  </si>
  <si>
    <t>Next PO #</t>
  </si>
  <si>
    <t>Vendor List</t>
  </si>
  <si>
    <t>Vendor Name</t>
  </si>
  <si>
    <t>Billing Address 1</t>
  </si>
  <si>
    <t>Address 2</t>
  </si>
  <si>
    <t>Phone</t>
  </si>
  <si>
    <t>Email</t>
  </si>
  <si>
    <t>Criteria</t>
  </si>
  <si>
    <t>Filter Result</t>
  </si>
  <si>
    <t>Sold Items</t>
  </si>
  <si>
    <t>Inv #</t>
  </si>
  <si>
    <t>Qty Sold</t>
  </si>
  <si>
    <t>Inv. Date</t>
  </si>
  <si>
    <t xml:space="preserve"> </t>
  </si>
  <si>
    <t>Purch. Qty</t>
  </si>
  <si>
    <t>Qty On Hand</t>
  </si>
  <si>
    <t>Results</t>
  </si>
  <si>
    <t>CompanyA</t>
  </si>
  <si>
    <t>CompanyB</t>
  </si>
  <si>
    <t>CompanyC</t>
  </si>
  <si>
    <t>CompanyD</t>
  </si>
  <si>
    <t>CompanyE</t>
  </si>
  <si>
    <t>StreetA</t>
  </si>
  <si>
    <t>StreetC</t>
  </si>
  <si>
    <t>StreetD</t>
  </si>
  <si>
    <t>StreetE</t>
  </si>
  <si>
    <t>StreetB</t>
  </si>
  <si>
    <t>AddressA</t>
  </si>
  <si>
    <t>AddressB</t>
  </si>
  <si>
    <t>AddressC</t>
  </si>
  <si>
    <t>AddressD</t>
  </si>
  <si>
    <t>AddressE</t>
  </si>
  <si>
    <t>111-1111</t>
  </si>
  <si>
    <t>222-2222</t>
  </si>
  <si>
    <t>333-3333</t>
  </si>
  <si>
    <t>444-4444</t>
  </si>
  <si>
    <t>555-5555</t>
  </si>
  <si>
    <t>A@A.com</t>
  </si>
  <si>
    <t>B@B.com</t>
  </si>
  <si>
    <t>C@C.com</t>
  </si>
  <si>
    <t>D@D.com</t>
  </si>
  <si>
    <t>E@E.com</t>
  </si>
  <si>
    <t>ItemA</t>
  </si>
  <si>
    <t>ItemB</t>
  </si>
  <si>
    <t>ItemC</t>
  </si>
  <si>
    <t>ItemD</t>
  </si>
  <si>
    <t>ItemE</t>
  </si>
  <si>
    <t>ItemF</t>
  </si>
  <si>
    <t>ItemG</t>
  </si>
  <si>
    <t>ItemH</t>
  </si>
  <si>
    <t>ItemI</t>
  </si>
  <si>
    <t>ItemJ</t>
  </si>
  <si>
    <t>ItemK</t>
  </si>
  <si>
    <t>ItemL</t>
  </si>
  <si>
    <t>ItemM</t>
  </si>
  <si>
    <t>DescA</t>
  </si>
  <si>
    <t>DescB</t>
  </si>
  <si>
    <t>DescC</t>
  </si>
  <si>
    <t>DescD</t>
  </si>
  <si>
    <t>DescE</t>
  </si>
  <si>
    <t>DescF</t>
  </si>
  <si>
    <t>DescG</t>
  </si>
  <si>
    <t>DescH</t>
  </si>
  <si>
    <t>DescI</t>
  </si>
  <si>
    <t>DescJ</t>
  </si>
  <si>
    <t>DescK</t>
  </si>
  <si>
    <t>DescL</t>
  </si>
  <si>
    <t>DescM</t>
  </si>
  <si>
    <t>CompanyX</t>
  </si>
  <si>
    <t>1111 X Street</t>
  </si>
  <si>
    <t>New York, NY 11111</t>
  </si>
  <si>
    <t>CompanyY</t>
  </si>
  <si>
    <t>Miami, FL 22222</t>
  </si>
  <si>
    <t>Company Z</t>
  </si>
  <si>
    <t>3333 Z Street</t>
  </si>
  <si>
    <t>San Diego, CA 55555</t>
  </si>
  <si>
    <t>2222 Y Street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</si>
</sst>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EBCD8"/>
        <bgColor indexed="64"/>
      </patternFill>
    </fill>
    <fill>
      <patternFill patternType="solid">
        <fgColor rgb="FFF2BFF3"/>
        <bgColor indexed="64"/>
      </patternFill>
    </fill>
    <fill>
      <patternFill patternType="solid">
        <fgColor rgb="FF249895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left"/>
    </xf>
    <xf numFmtId="0" fontId="0" fillId="6" borderId="0" xfId="0" applyFill="1" applyBorder="1"/>
    <xf numFmtId="0" fontId="0" fillId="0" borderId="2" xfId="0" applyBorder="1"/>
    <xf numFmtId="0" fontId="6" fillId="0" borderId="3" xfId="0" applyFont="1" applyBorder="1"/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5" xfId="0" applyBorder="1"/>
    <xf numFmtId="0" fontId="0" fillId="0" borderId="0" xfId="0" applyBorder="1"/>
    <xf numFmtId="14" fontId="0" fillId="0" borderId="6" xfId="0" applyNumberForma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6" xfId="0" applyBorder="1"/>
    <xf numFmtId="0" fontId="0" fillId="5" borderId="5" xfId="0" applyFill="1" applyBorder="1"/>
    <xf numFmtId="0" fontId="2" fillId="5" borderId="0" xfId="0" applyFont="1" applyFill="1" applyBorder="1"/>
    <xf numFmtId="0" fontId="0" fillId="5" borderId="0" xfId="0" applyFill="1" applyBorder="1"/>
    <xf numFmtId="0" fontId="0" fillId="5" borderId="6" xfId="0" applyFill="1" applyBorder="1"/>
    <xf numFmtId="0" fontId="2" fillId="5" borderId="5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0" fillId="6" borderId="6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10" xfId="0" applyBorder="1"/>
    <xf numFmtId="0" fontId="4" fillId="5" borderId="11" xfId="0" applyFont="1" applyFill="1" applyBorder="1" applyAlignment="1">
      <alignment horizontal="right"/>
    </xf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0" xfId="0" applyAlignment="1">
      <alignment horizontal="center"/>
    </xf>
    <xf numFmtId="0" fontId="0" fillId="7" borderId="1" xfId="0" applyFill="1" applyBorder="1"/>
    <xf numFmtId="0" fontId="3" fillId="7" borderId="1" xfId="0" applyFont="1" applyFill="1" applyBorder="1" applyAlignment="1">
      <alignment horizontal="center"/>
    </xf>
    <xf numFmtId="44" fontId="0" fillId="0" borderId="0" xfId="1" applyFont="1" applyAlignment="1">
      <alignment horizontal="center"/>
    </xf>
    <xf numFmtId="0" fontId="0" fillId="9" borderId="1" xfId="0" applyFill="1" applyBorder="1"/>
    <xf numFmtId="0" fontId="0" fillId="10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3" fillId="7" borderId="1" xfId="0" applyFont="1" applyFill="1" applyBorder="1"/>
    <xf numFmtId="0" fontId="3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left"/>
    </xf>
    <xf numFmtId="0" fontId="0" fillId="10" borderId="1" xfId="0" applyFill="1" applyBorder="1" applyAlignment="1">
      <alignment horizontal="left" vertical="center"/>
    </xf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7" fontId="0" fillId="0" borderId="10" xfId="0" applyNumberFormat="1" applyBorder="1"/>
    <xf numFmtId="0" fontId="0" fillId="0" borderId="10" xfId="0" applyBorder="1" applyAlignment="1">
      <alignment horizontal="center" vertical="center"/>
    </xf>
    <xf numFmtId="164" fontId="0" fillId="6" borderId="1" xfId="1" applyNumberFormat="1" applyFont="1" applyFill="1" applyBorder="1"/>
    <xf numFmtId="7" fontId="0" fillId="0" borderId="0" xfId="0" applyNumberFormat="1"/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3" fillId="8" borderId="1" xfId="0" applyFont="1" applyFill="1" applyBorder="1"/>
    <xf numFmtId="0" fontId="10" fillId="0" borderId="0" xfId="2"/>
    <xf numFmtId="0" fontId="5" fillId="4" borderId="0" xfId="0" applyFont="1" applyFill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7" fillId="9" borderId="1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49895"/>
      <color rgb="FF00FCF6"/>
      <color rgb="FFF2BFF3"/>
      <color rgb="FF8EBC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52388</xdr:colOff>
      <xdr:row>2</xdr:row>
      <xdr:rowOff>90488</xdr:rowOff>
    </xdr:from>
    <xdr:to>
      <xdr:col>10</xdr:col>
      <xdr:colOff>14288</xdr:colOff>
      <xdr:row>4</xdr:row>
      <xdr:rowOff>42228</xdr:rowOff>
    </xdr:to>
    <xdr:grpSp>
      <xdr:nvGrpSpPr>
        <xdr:cNvPr id="16" name="CancelNewBtn" hidden="1">
          <a:extLst>
            <a:ext uri="{FF2B5EF4-FFF2-40B4-BE49-F238E27FC236}">
              <a16:creationId xmlns:a16="http://schemas.microsoft.com/office/drawing/2014/main" id="{EFED67CC-7D14-4BFB-8B7D-6291DC7DA0C5}"/>
            </a:ext>
          </a:extLst>
        </xdr:cNvPr>
        <xdr:cNvGrpSpPr/>
      </xdr:nvGrpSpPr>
      <xdr:grpSpPr>
        <a:xfrm>
          <a:off x="8332788" y="725488"/>
          <a:ext cx="1308100" cy="332740"/>
          <a:chOff x="9783886" y="1960563"/>
          <a:chExt cx="1292735" cy="313690"/>
        </a:xfrm>
      </xdr:grpSpPr>
      <xdr:sp macro="[0]!PO_CancelNew" textlink="">
        <xdr:nvSpPr>
          <xdr:cNvPr id="17" name="Rectangle 16" hidden="1">
            <a:extLst>
              <a:ext uri="{FF2B5EF4-FFF2-40B4-BE49-F238E27FC236}">
                <a16:creationId xmlns:a16="http://schemas.microsoft.com/office/drawing/2014/main" id="{D6A88267-2AA2-4369-A9EA-C6E259FD5FA6}"/>
              </a:ext>
            </a:extLst>
          </xdr:cNvPr>
          <xdr:cNvSpPr/>
        </xdr:nvSpPr>
        <xdr:spPr>
          <a:xfrm>
            <a:off x="9783886" y="1960563"/>
            <a:ext cx="1292735" cy="313690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solidFill>
                  <a:schemeClr val="tx1"/>
                </a:solidFill>
              </a:rPr>
              <a:t>Cancel New PO</a:t>
            </a:r>
          </a:p>
        </xdr:txBody>
      </xdr:sp>
      <xdr:pic macro="[0]!PO_CancelNew">
        <xdr:nvPicPr>
          <xdr:cNvPr id="18" name="Graphic 17" descr="Close with solid fill" hidden="1">
            <a:extLst>
              <a:ext uri="{FF2B5EF4-FFF2-40B4-BE49-F238E27FC236}">
                <a16:creationId xmlns:a16="http://schemas.microsoft.com/office/drawing/2014/main" id="{0DEE5621-1CEA-4E6B-B5A6-E98AB0651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794872" y="1990221"/>
            <a:ext cx="269320" cy="26140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60014</xdr:colOff>
      <xdr:row>6</xdr:row>
      <xdr:rowOff>71438</xdr:rowOff>
    </xdr:from>
    <xdr:to>
      <xdr:col>10</xdr:col>
      <xdr:colOff>25713</xdr:colOff>
      <xdr:row>8</xdr:row>
      <xdr:rowOff>39053</xdr:rowOff>
    </xdr:to>
    <xdr:grpSp>
      <xdr:nvGrpSpPr>
        <xdr:cNvPr id="2" name="PrintBtn">
          <a:extLst>
            <a:ext uri="{FF2B5EF4-FFF2-40B4-BE49-F238E27FC236}">
              <a16:creationId xmlns:a16="http://schemas.microsoft.com/office/drawing/2014/main" id="{FA93A50D-F943-4F3D-AB11-806D82E0C482}"/>
            </a:ext>
          </a:extLst>
        </xdr:cNvPr>
        <xdr:cNvGrpSpPr/>
      </xdr:nvGrpSpPr>
      <xdr:grpSpPr>
        <a:xfrm>
          <a:off x="8340414" y="1468438"/>
          <a:ext cx="1311899" cy="348615"/>
          <a:chOff x="9080500" y="1739900"/>
          <a:chExt cx="1280160" cy="332740"/>
        </a:xfrm>
      </xdr:grpSpPr>
      <xdr:sp macro="[0]!PO_Print" textlink="">
        <xdr:nvSpPr>
          <xdr:cNvPr id="3" name="Rectangle 2">
            <a:extLst>
              <a:ext uri="{FF2B5EF4-FFF2-40B4-BE49-F238E27FC236}">
                <a16:creationId xmlns:a16="http://schemas.microsoft.com/office/drawing/2014/main" id="{0BE7C730-DA45-43D0-B51A-387E5B20D820}"/>
              </a:ext>
            </a:extLst>
          </xdr:cNvPr>
          <xdr:cNvSpPr/>
        </xdr:nvSpPr>
        <xdr:spPr>
          <a:xfrm>
            <a:off x="9080500" y="1752600"/>
            <a:ext cx="1280160" cy="320040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  Print PO</a:t>
            </a:r>
          </a:p>
        </xdr:txBody>
      </xdr:sp>
      <xdr:pic macro="[0]!PO_Print">
        <xdr:nvPicPr>
          <xdr:cNvPr id="4" name="Graphic 3" descr="Fax with solid fill">
            <a:extLst>
              <a:ext uri="{FF2B5EF4-FFF2-40B4-BE49-F238E27FC236}">
                <a16:creationId xmlns:a16="http://schemas.microsoft.com/office/drawing/2014/main" id="{7AE7F484-002A-43A3-A4C6-497FDA2666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156700" y="1739900"/>
            <a:ext cx="304800" cy="3048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42864</xdr:colOff>
      <xdr:row>1</xdr:row>
      <xdr:rowOff>28577</xdr:rowOff>
    </xdr:from>
    <xdr:to>
      <xdr:col>10</xdr:col>
      <xdr:colOff>8563</xdr:colOff>
      <xdr:row>2</xdr:row>
      <xdr:rowOff>50167</xdr:rowOff>
    </xdr:to>
    <xdr:grpSp>
      <xdr:nvGrpSpPr>
        <xdr:cNvPr id="19" name="SaveBtn">
          <a:extLst>
            <a:ext uri="{FF2B5EF4-FFF2-40B4-BE49-F238E27FC236}">
              <a16:creationId xmlns:a16="http://schemas.microsoft.com/office/drawing/2014/main" id="{6535549C-4449-49E6-BD8B-C6CFA7E648C9}"/>
            </a:ext>
          </a:extLst>
        </xdr:cNvPr>
        <xdr:cNvGrpSpPr/>
      </xdr:nvGrpSpPr>
      <xdr:grpSpPr>
        <a:xfrm>
          <a:off x="8323264" y="358777"/>
          <a:ext cx="1311899" cy="326390"/>
          <a:chOff x="9667877" y="1733552"/>
          <a:chExt cx="1261099" cy="316865"/>
        </a:xfrm>
      </xdr:grpSpPr>
      <xdr:sp macro="[0]!PO_SaveUpdate" textlink="">
        <xdr:nvSpPr>
          <xdr:cNvPr id="6" name="Save">
            <a:extLst>
              <a:ext uri="{FF2B5EF4-FFF2-40B4-BE49-F238E27FC236}">
                <a16:creationId xmlns:a16="http://schemas.microsoft.com/office/drawing/2014/main" id="{2E92E73A-2956-45B2-A86A-277D00F663E3}"/>
              </a:ext>
            </a:extLst>
          </xdr:cNvPr>
          <xdr:cNvSpPr/>
        </xdr:nvSpPr>
        <xdr:spPr>
          <a:xfrm>
            <a:off x="9667877" y="1733552"/>
            <a:ext cx="1261099" cy="316865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    Save/Update</a:t>
            </a:r>
          </a:p>
        </xdr:txBody>
      </xdr:sp>
      <xdr:pic macro="[0]!PO_SaveUpdate">
        <xdr:nvPicPr>
          <xdr:cNvPr id="7" name="Graphic 6" descr="Disk with solid fill">
            <a:extLst>
              <a:ext uri="{FF2B5EF4-FFF2-40B4-BE49-F238E27FC236}">
                <a16:creationId xmlns:a16="http://schemas.microsoft.com/office/drawing/2014/main" id="{273B49ED-DA63-4B7E-B5F8-D6564D9D0D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9670863" y="1757363"/>
            <a:ext cx="287751" cy="289202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53353</xdr:colOff>
      <xdr:row>4</xdr:row>
      <xdr:rowOff>76201</xdr:rowOff>
    </xdr:from>
    <xdr:to>
      <xdr:col>10</xdr:col>
      <xdr:colOff>9528</xdr:colOff>
      <xdr:row>6</xdr:row>
      <xdr:rowOff>40641</xdr:rowOff>
    </xdr:to>
    <xdr:grpSp>
      <xdr:nvGrpSpPr>
        <xdr:cNvPr id="8" name="GeneratePOBtn">
          <a:extLst>
            <a:ext uri="{FF2B5EF4-FFF2-40B4-BE49-F238E27FC236}">
              <a16:creationId xmlns:a16="http://schemas.microsoft.com/office/drawing/2014/main" id="{979A5A74-AF9D-49DB-9A86-68F97AA3F8AC}"/>
            </a:ext>
          </a:extLst>
        </xdr:cNvPr>
        <xdr:cNvGrpSpPr/>
      </xdr:nvGrpSpPr>
      <xdr:grpSpPr>
        <a:xfrm>
          <a:off x="8333753" y="1092201"/>
          <a:ext cx="1302375" cy="345440"/>
          <a:chOff x="8928100" y="1181100"/>
          <a:chExt cx="1270492" cy="332740"/>
        </a:xfrm>
      </xdr:grpSpPr>
      <xdr:sp macro="[0]!PO_Generate" textlink="">
        <xdr:nvSpPr>
          <xdr:cNvPr id="9" name="Rectangle 8">
            <a:extLst>
              <a:ext uri="{FF2B5EF4-FFF2-40B4-BE49-F238E27FC236}">
                <a16:creationId xmlns:a16="http://schemas.microsoft.com/office/drawing/2014/main" id="{5001B8E3-8108-4591-85B3-94F2E78BE908}"/>
              </a:ext>
            </a:extLst>
          </xdr:cNvPr>
          <xdr:cNvSpPr/>
        </xdr:nvSpPr>
        <xdr:spPr>
          <a:xfrm>
            <a:off x="8928100" y="1193800"/>
            <a:ext cx="1270492" cy="320040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solidFill>
                  <a:schemeClr val="tx1"/>
                </a:solidFill>
              </a:rPr>
              <a:t>Generate</a:t>
            </a:r>
            <a:r>
              <a:rPr lang="en-US" sz="1100" baseline="0">
                <a:solidFill>
                  <a:schemeClr val="tx1"/>
                </a:solidFill>
              </a:rPr>
              <a:t> PO</a:t>
            </a:r>
            <a:endParaRPr lang="en-US" sz="1100">
              <a:solidFill>
                <a:schemeClr val="tx1"/>
              </a:solidFill>
            </a:endParaRPr>
          </a:p>
        </xdr:txBody>
      </xdr:sp>
      <xdr:pic macro="[0]!PO_Generate">
        <xdr:nvPicPr>
          <xdr:cNvPr id="10" name="Graphic 9" descr="Receipt with solid fill">
            <a:extLst>
              <a:ext uri="{FF2B5EF4-FFF2-40B4-BE49-F238E27FC236}">
                <a16:creationId xmlns:a16="http://schemas.microsoft.com/office/drawing/2014/main" id="{858ED6CD-6577-4613-8B48-760D478797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978900" y="1181100"/>
            <a:ext cx="330200" cy="3302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50487</xdr:colOff>
      <xdr:row>2</xdr:row>
      <xdr:rowOff>85726</xdr:rowOff>
    </xdr:from>
    <xdr:to>
      <xdr:col>10</xdr:col>
      <xdr:colOff>16186</xdr:colOff>
      <xdr:row>4</xdr:row>
      <xdr:rowOff>37466</xdr:rowOff>
    </xdr:to>
    <xdr:grpSp>
      <xdr:nvGrpSpPr>
        <xdr:cNvPr id="11" name="AddNewBtn">
          <a:extLst>
            <a:ext uri="{FF2B5EF4-FFF2-40B4-BE49-F238E27FC236}">
              <a16:creationId xmlns:a16="http://schemas.microsoft.com/office/drawing/2014/main" id="{FBEA27AD-CCAA-4EE1-8B65-8DBA522291D3}"/>
            </a:ext>
          </a:extLst>
        </xdr:cNvPr>
        <xdr:cNvGrpSpPr/>
      </xdr:nvGrpSpPr>
      <xdr:grpSpPr>
        <a:xfrm>
          <a:off x="8330887" y="720726"/>
          <a:ext cx="1311899" cy="332740"/>
          <a:chOff x="8204200" y="393700"/>
          <a:chExt cx="1280160" cy="320040"/>
        </a:xfrm>
      </xdr:grpSpPr>
      <xdr:sp macro="[0]!PO_AddNew" textlink="">
        <xdr:nvSpPr>
          <xdr:cNvPr id="12" name="Rectangle 11">
            <a:extLst>
              <a:ext uri="{FF2B5EF4-FFF2-40B4-BE49-F238E27FC236}">
                <a16:creationId xmlns:a16="http://schemas.microsoft.com/office/drawing/2014/main" id="{7275AC55-03C1-4ABE-ACB7-275C9A62771B}"/>
              </a:ext>
            </a:extLst>
          </xdr:cNvPr>
          <xdr:cNvSpPr/>
        </xdr:nvSpPr>
        <xdr:spPr>
          <a:xfrm>
            <a:off x="8204200" y="393700"/>
            <a:ext cx="1280160" cy="320040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  Add New</a:t>
            </a:r>
            <a:r>
              <a:rPr lang="en-US" sz="1100" baseline="0">
                <a:solidFill>
                  <a:schemeClr val="tx1"/>
                </a:solidFill>
              </a:rPr>
              <a:t> PO</a:t>
            </a:r>
            <a:endParaRPr lang="en-US" sz="1100">
              <a:solidFill>
                <a:schemeClr val="tx1"/>
              </a:solidFill>
            </a:endParaRPr>
          </a:p>
        </xdr:txBody>
      </xdr:sp>
      <xdr:pic macro="[0]!PO_AddNew">
        <xdr:nvPicPr>
          <xdr:cNvPr id="13" name="Graphic 12" descr="Add with solid fill">
            <a:extLst>
              <a:ext uri="{FF2B5EF4-FFF2-40B4-BE49-F238E27FC236}">
                <a16:creationId xmlns:a16="http://schemas.microsoft.com/office/drawing/2014/main" id="{5BD23879-5E08-44F8-8414-54A40999D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242300" y="431800"/>
            <a:ext cx="241300" cy="24130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19049</xdr:colOff>
      <xdr:row>1</xdr:row>
      <xdr:rowOff>33337</xdr:rowOff>
    </xdr:from>
    <xdr:to>
      <xdr:col>3</xdr:col>
      <xdr:colOff>642938</xdr:colOff>
      <xdr:row>4</xdr:row>
      <xdr:rowOff>166688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4F01081-1CEC-411D-8C9C-6B7380BA7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62149" y="357187"/>
          <a:ext cx="623889" cy="7905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C@C.com" TargetMode="External"/><Relationship Id="rId2" Type="http://schemas.openxmlformats.org/officeDocument/2006/relationships/hyperlink" Target="mailto:B@B.com" TargetMode="External"/><Relationship Id="rId1" Type="http://schemas.openxmlformats.org/officeDocument/2006/relationships/hyperlink" Target="mailto:A@A.com" TargetMode="External"/><Relationship Id="rId5" Type="http://schemas.openxmlformats.org/officeDocument/2006/relationships/hyperlink" Target="mailto:E@E.com" TargetMode="External"/><Relationship Id="rId4" Type="http://schemas.openxmlformats.org/officeDocument/2006/relationships/hyperlink" Target="mailto:D@D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CBCD-5E07-48D5-BF38-416D07F0EED4}">
  <sheetPr codeName="Sheet1"/>
  <dimension ref="A1:J31"/>
  <sheetViews>
    <sheetView showGridLines="0" tabSelected="1" workbookViewId="0">
      <selection activeCell="E16" sqref="E16"/>
    </sheetView>
  </sheetViews>
  <sheetFormatPr baseColWidth="10" defaultColWidth="8.83203125" defaultRowHeight="15" x14ac:dyDescent="0.2"/>
  <cols>
    <col min="4" max="4" width="14.1640625" customWidth="1"/>
    <col min="5" max="5" width="37.83203125" customWidth="1"/>
    <col min="7" max="7" width="11" customWidth="1"/>
    <col min="8" max="8" width="10.33203125" customWidth="1"/>
  </cols>
  <sheetData>
    <row r="1" spans="1:10" ht="26" x14ac:dyDescent="0.3">
      <c r="A1" s="1"/>
      <c r="B1" s="1"/>
      <c r="C1" s="63" t="s">
        <v>0</v>
      </c>
      <c r="D1" s="63"/>
      <c r="E1" s="63"/>
      <c r="F1" s="63"/>
      <c r="G1" s="63"/>
      <c r="H1" s="63"/>
      <c r="I1" s="63"/>
      <c r="J1" s="63"/>
    </row>
    <row r="2" spans="1:10" ht="24" x14ac:dyDescent="0.3">
      <c r="A2" s="36" t="s">
        <v>36</v>
      </c>
      <c r="B2" s="46">
        <f ca="1">IFERROR(MATCH(E7,Vendor_Name,0)+2,"")</f>
        <v>3</v>
      </c>
      <c r="C2" s="2"/>
      <c r="D2" s="5"/>
      <c r="E2" s="6" t="s">
        <v>1</v>
      </c>
      <c r="F2" s="7"/>
      <c r="G2" s="47" t="s">
        <v>2</v>
      </c>
      <c r="H2" s="8">
        <v>1</v>
      </c>
      <c r="I2" s="2"/>
      <c r="J2" s="2"/>
    </row>
    <row r="3" spans="1:10" x14ac:dyDescent="0.2">
      <c r="A3" s="36" t="s">
        <v>29</v>
      </c>
      <c r="B3" s="46">
        <f ca="1">IFERROR(MATCH(H2,PONumb,0)+2,"")</f>
        <v>3</v>
      </c>
      <c r="C3" s="2"/>
      <c r="D3" s="9"/>
      <c r="E3" s="10" t="s">
        <v>8</v>
      </c>
      <c r="F3" s="10"/>
      <c r="G3" s="48" t="s">
        <v>3</v>
      </c>
      <c r="H3" s="11">
        <v>43850</v>
      </c>
      <c r="I3" s="2"/>
      <c r="J3" s="2"/>
    </row>
    <row r="4" spans="1:10" x14ac:dyDescent="0.2">
      <c r="A4" s="36" t="s">
        <v>43</v>
      </c>
      <c r="B4" s="46" t="b">
        <v>0</v>
      </c>
      <c r="C4" s="2"/>
      <c r="D4" s="9"/>
      <c r="E4" s="10" t="s">
        <v>6</v>
      </c>
      <c r="F4" s="10"/>
      <c r="G4" s="48" t="s">
        <v>4</v>
      </c>
      <c r="H4" s="12" t="s">
        <v>5</v>
      </c>
      <c r="I4" s="2"/>
      <c r="J4" s="2"/>
    </row>
    <row r="5" spans="1:10" x14ac:dyDescent="0.2">
      <c r="A5" s="36" t="s">
        <v>44</v>
      </c>
      <c r="B5" s="46" t="b">
        <v>0</v>
      </c>
      <c r="C5" s="2"/>
      <c r="D5" s="9"/>
      <c r="E5" s="10" t="s">
        <v>7</v>
      </c>
      <c r="F5" s="10"/>
      <c r="G5" s="10"/>
      <c r="H5" s="13"/>
      <c r="I5" s="2"/>
      <c r="J5" s="2"/>
    </row>
    <row r="6" spans="1:10" x14ac:dyDescent="0.2">
      <c r="A6" s="36" t="s">
        <v>45</v>
      </c>
      <c r="B6" s="46">
        <f ca="1">IFERROR(MAX(PONumb)+1,1)</f>
        <v>4</v>
      </c>
      <c r="C6" s="2"/>
      <c r="D6" s="14"/>
      <c r="E6" s="15" t="s">
        <v>9</v>
      </c>
      <c r="F6" s="15" t="s">
        <v>11</v>
      </c>
      <c r="G6" s="16"/>
      <c r="H6" s="17"/>
      <c r="I6" s="2"/>
      <c r="J6" s="2"/>
    </row>
    <row r="7" spans="1:10" x14ac:dyDescent="0.2">
      <c r="A7" s="1"/>
      <c r="B7" s="1" t="s">
        <v>58</v>
      </c>
      <c r="C7" s="2"/>
      <c r="D7" s="9"/>
      <c r="E7" s="10" t="s">
        <v>62</v>
      </c>
      <c r="F7" s="64" t="s">
        <v>113</v>
      </c>
      <c r="G7" s="64"/>
      <c r="H7" s="65"/>
      <c r="I7" s="2"/>
      <c r="J7" s="2"/>
    </row>
    <row r="8" spans="1:10" x14ac:dyDescent="0.2">
      <c r="A8" s="1"/>
      <c r="B8" s="1"/>
      <c r="C8" s="2"/>
      <c r="D8" s="9"/>
      <c r="E8" s="10" t="s">
        <v>67</v>
      </c>
      <c r="F8" s="55" t="s">
        <v>114</v>
      </c>
      <c r="G8" s="55"/>
      <c r="H8" s="56"/>
      <c r="I8" s="2"/>
      <c r="J8" s="2"/>
    </row>
    <row r="9" spans="1:10" x14ac:dyDescent="0.2">
      <c r="A9" s="1"/>
      <c r="B9" s="1"/>
      <c r="C9" s="2"/>
      <c r="D9" s="9"/>
      <c r="E9" s="10" t="s">
        <v>72</v>
      </c>
      <c r="F9" s="64" t="s">
        <v>115</v>
      </c>
      <c r="G9" s="64"/>
      <c r="H9" s="65"/>
      <c r="I9" s="2"/>
      <c r="J9" s="2"/>
    </row>
    <row r="10" spans="1:10" x14ac:dyDescent="0.2">
      <c r="A10" s="1"/>
      <c r="B10" s="1"/>
      <c r="C10" s="49" t="s">
        <v>23</v>
      </c>
      <c r="D10" s="18" t="s">
        <v>12</v>
      </c>
      <c r="E10" s="19" t="s">
        <v>13</v>
      </c>
      <c r="F10" s="19" t="s">
        <v>16</v>
      </c>
      <c r="G10" s="19" t="s">
        <v>17</v>
      </c>
      <c r="H10" s="20" t="s">
        <v>18</v>
      </c>
      <c r="I10" s="2" t="s">
        <v>24</v>
      </c>
      <c r="J10" s="2"/>
    </row>
    <row r="11" spans="1:10" x14ac:dyDescent="0.2">
      <c r="A11" s="1"/>
      <c r="B11" s="1"/>
      <c r="C11" s="50">
        <f t="shared" ref="C11:C24" ca="1" si="0">IFERROR(MATCH(D11,Item_Name,0)+2,"")</f>
        <v>12</v>
      </c>
      <c r="D11" s="9" t="s">
        <v>96</v>
      </c>
      <c r="E11" s="26" t="s">
        <v>109</v>
      </c>
      <c r="F11" s="52">
        <v>5</v>
      </c>
      <c r="G11" s="51">
        <v>21</v>
      </c>
      <c r="H11" s="13">
        <f>IF(G11="","",G11*F11)</f>
        <v>105</v>
      </c>
      <c r="I11" s="2">
        <v>3</v>
      </c>
      <c r="J11" s="2"/>
    </row>
    <row r="12" spans="1:10" x14ac:dyDescent="0.2">
      <c r="A12" s="1"/>
      <c r="B12" s="1"/>
      <c r="C12" s="50" t="str">
        <f t="shared" ca="1" si="0"/>
        <v/>
      </c>
      <c r="D12" s="9"/>
      <c r="E12" s="26"/>
      <c r="F12" s="52"/>
      <c r="G12" s="51"/>
      <c r="H12" s="13" t="str">
        <f t="shared" ref="H12:H24" si="1">IF(G12="","",G12*F12)</f>
        <v/>
      </c>
      <c r="I12" s="2">
        <v>4</v>
      </c>
      <c r="J12" s="2"/>
    </row>
    <row r="13" spans="1:10" x14ac:dyDescent="0.2">
      <c r="A13" s="1"/>
      <c r="B13" s="1"/>
      <c r="C13" s="50" t="str">
        <f t="shared" ca="1" si="0"/>
        <v/>
      </c>
      <c r="D13" s="9"/>
      <c r="E13" s="26"/>
      <c r="F13" s="52"/>
      <c r="G13" s="51"/>
      <c r="H13" s="13" t="str">
        <f t="shared" si="1"/>
        <v/>
      </c>
      <c r="I13" s="2">
        <v>5</v>
      </c>
      <c r="J13" s="2"/>
    </row>
    <row r="14" spans="1:10" x14ac:dyDescent="0.2">
      <c r="A14" s="1"/>
      <c r="B14" s="1"/>
      <c r="C14" s="50" t="str">
        <f t="shared" ca="1" si="0"/>
        <v/>
      </c>
      <c r="D14" s="9"/>
      <c r="E14" s="26"/>
      <c r="F14" s="52"/>
      <c r="G14" s="51"/>
      <c r="H14" s="13" t="str">
        <f t="shared" si="1"/>
        <v/>
      </c>
      <c r="I14" s="2">
        <v>6</v>
      </c>
      <c r="J14" s="2"/>
    </row>
    <row r="15" spans="1:10" x14ac:dyDescent="0.2">
      <c r="A15" s="1"/>
      <c r="B15" s="1"/>
      <c r="C15" s="50" t="str">
        <f t="shared" ca="1" si="0"/>
        <v/>
      </c>
      <c r="D15" s="9"/>
      <c r="E15" s="26"/>
      <c r="F15" s="52"/>
      <c r="G15" s="51"/>
      <c r="H15" s="13" t="str">
        <f t="shared" si="1"/>
        <v/>
      </c>
      <c r="I15" s="2">
        <v>14</v>
      </c>
      <c r="J15" s="2"/>
    </row>
    <row r="16" spans="1:10" x14ac:dyDescent="0.2">
      <c r="A16" s="1"/>
      <c r="B16" s="1"/>
      <c r="C16" s="50" t="str">
        <f t="shared" ca="1" si="0"/>
        <v/>
      </c>
      <c r="D16" s="9"/>
      <c r="E16" s="26"/>
      <c r="F16" s="52"/>
      <c r="G16" s="51"/>
      <c r="H16" s="13" t="str">
        <f t="shared" si="1"/>
        <v/>
      </c>
      <c r="I16" s="2">
        <v>15</v>
      </c>
      <c r="J16" s="2"/>
    </row>
    <row r="17" spans="1:10" x14ac:dyDescent="0.2">
      <c r="A17" s="1"/>
      <c r="B17" s="1"/>
      <c r="C17" s="50" t="str">
        <f t="shared" ca="1" si="0"/>
        <v/>
      </c>
      <c r="D17" s="9"/>
      <c r="E17" s="26"/>
      <c r="F17" s="52"/>
      <c r="G17" s="51"/>
      <c r="H17" s="13" t="str">
        <f t="shared" si="1"/>
        <v/>
      </c>
      <c r="I17" s="2">
        <v>16</v>
      </c>
      <c r="J17" s="2"/>
    </row>
    <row r="18" spans="1:10" x14ac:dyDescent="0.2">
      <c r="A18" s="1"/>
      <c r="B18" s="1"/>
      <c r="C18" s="50" t="str">
        <f t="shared" ca="1" si="0"/>
        <v/>
      </c>
      <c r="D18" s="9"/>
      <c r="E18" s="26"/>
      <c r="F18" s="52"/>
      <c r="G18" s="26"/>
      <c r="H18" s="13" t="str">
        <f t="shared" si="1"/>
        <v/>
      </c>
      <c r="I18" s="2"/>
      <c r="J18" s="2"/>
    </row>
    <row r="19" spans="1:10" x14ac:dyDescent="0.2">
      <c r="A19" s="1"/>
      <c r="B19" s="1"/>
      <c r="C19" s="50" t="str">
        <f t="shared" ca="1" si="0"/>
        <v/>
      </c>
      <c r="D19" s="9"/>
      <c r="E19" s="26"/>
      <c r="F19" s="52"/>
      <c r="G19" s="26"/>
      <c r="H19" s="13" t="str">
        <f t="shared" si="1"/>
        <v/>
      </c>
      <c r="I19" s="2"/>
      <c r="J19" s="2"/>
    </row>
    <row r="20" spans="1:10" x14ac:dyDescent="0.2">
      <c r="A20" s="1"/>
      <c r="B20" s="1"/>
      <c r="C20" s="50" t="str">
        <f t="shared" ca="1" si="0"/>
        <v/>
      </c>
      <c r="D20" s="9"/>
      <c r="E20" s="26"/>
      <c r="F20" s="52"/>
      <c r="G20" s="26"/>
      <c r="H20" s="13" t="str">
        <f t="shared" si="1"/>
        <v/>
      </c>
      <c r="I20" s="2"/>
      <c r="J20" s="2"/>
    </row>
    <row r="21" spans="1:10" x14ac:dyDescent="0.2">
      <c r="A21" s="1"/>
      <c r="B21" s="1"/>
      <c r="C21" s="50" t="str">
        <f t="shared" ca="1" si="0"/>
        <v/>
      </c>
      <c r="D21" s="9"/>
      <c r="E21" s="26"/>
      <c r="F21" s="52"/>
      <c r="G21" s="26"/>
      <c r="H21" s="13" t="str">
        <f t="shared" si="1"/>
        <v/>
      </c>
      <c r="I21" s="2"/>
      <c r="J21" s="2"/>
    </row>
    <row r="22" spans="1:10" x14ac:dyDescent="0.2">
      <c r="A22" s="1"/>
      <c r="B22" s="1"/>
      <c r="C22" s="50" t="str">
        <f t="shared" ca="1" si="0"/>
        <v/>
      </c>
      <c r="D22" s="9"/>
      <c r="E22" s="26"/>
      <c r="F22" s="52"/>
      <c r="G22" s="26"/>
      <c r="H22" s="13" t="str">
        <f t="shared" si="1"/>
        <v/>
      </c>
      <c r="I22" s="2"/>
      <c r="J22" s="2"/>
    </row>
    <row r="23" spans="1:10" x14ac:dyDescent="0.2">
      <c r="A23" s="1"/>
      <c r="B23" s="1"/>
      <c r="C23" s="50" t="str">
        <f t="shared" ca="1" si="0"/>
        <v/>
      </c>
      <c r="D23" s="9"/>
      <c r="E23" s="26"/>
      <c r="F23" s="52"/>
      <c r="G23" s="26"/>
      <c r="H23" s="13" t="str">
        <f t="shared" si="1"/>
        <v/>
      </c>
      <c r="I23" s="2"/>
      <c r="J23" s="2"/>
    </row>
    <row r="24" spans="1:10" x14ac:dyDescent="0.2">
      <c r="A24" s="1"/>
      <c r="B24" s="1"/>
      <c r="C24" s="50" t="str">
        <f t="shared" ca="1" si="0"/>
        <v/>
      </c>
      <c r="D24" s="9"/>
      <c r="E24" s="26"/>
      <c r="F24" s="52"/>
      <c r="G24" s="26"/>
      <c r="H24" s="13" t="str">
        <f t="shared" si="1"/>
        <v/>
      </c>
      <c r="I24" s="2"/>
      <c r="J24" s="2"/>
    </row>
    <row r="25" spans="1:10" x14ac:dyDescent="0.2">
      <c r="A25" s="1"/>
      <c r="B25" s="1"/>
      <c r="C25" s="2"/>
      <c r="D25" s="28" t="s">
        <v>21</v>
      </c>
      <c r="E25" s="29"/>
      <c r="F25" s="30"/>
      <c r="G25" s="27" t="s">
        <v>19</v>
      </c>
      <c r="H25" s="53">
        <f>SUM(H11:H24)</f>
        <v>105</v>
      </c>
      <c r="I25" s="2"/>
      <c r="J25" s="2"/>
    </row>
    <row r="26" spans="1:10" x14ac:dyDescent="0.2">
      <c r="A26" s="1"/>
      <c r="B26" s="1"/>
      <c r="C26" s="2"/>
      <c r="D26" s="22"/>
      <c r="E26" s="4"/>
      <c r="F26" s="21"/>
      <c r="G26" s="27" t="s">
        <v>22</v>
      </c>
      <c r="H26" s="53">
        <f>H25*0.0825</f>
        <v>8.6624999999999996</v>
      </c>
      <c r="I26" s="2"/>
      <c r="J26" s="2"/>
    </row>
    <row r="27" spans="1:10" x14ac:dyDescent="0.2">
      <c r="C27" s="2"/>
      <c r="D27" s="23"/>
      <c r="E27" s="24"/>
      <c r="F27" s="25"/>
      <c r="G27" s="27" t="s">
        <v>20</v>
      </c>
      <c r="H27" s="53">
        <f>SUM(H25:H26)</f>
        <v>113.66249999999999</v>
      </c>
      <c r="I27" s="2"/>
      <c r="J27" s="2"/>
    </row>
    <row r="28" spans="1:10" x14ac:dyDescent="0.2">
      <c r="C28" s="2"/>
      <c r="D28" s="2"/>
      <c r="E28" s="2"/>
      <c r="F28" s="2"/>
      <c r="G28" s="2"/>
      <c r="H28" s="2"/>
      <c r="I28" s="2"/>
      <c r="J28" s="2"/>
    </row>
    <row r="29" spans="1:10" x14ac:dyDescent="0.2">
      <c r="C29" s="2"/>
      <c r="D29" s="2"/>
      <c r="E29" s="2"/>
      <c r="F29" s="2"/>
      <c r="G29" s="2"/>
      <c r="H29" s="2"/>
      <c r="I29" s="2"/>
      <c r="J29" s="2"/>
    </row>
    <row r="30" spans="1:10" x14ac:dyDescent="0.2">
      <c r="C30" s="2"/>
      <c r="D30" s="2"/>
      <c r="E30" s="2"/>
      <c r="F30" s="2"/>
      <c r="G30" s="2"/>
      <c r="H30" s="2"/>
      <c r="I30" s="2"/>
      <c r="J30" s="2"/>
    </row>
    <row r="31" spans="1:10" x14ac:dyDescent="0.2">
      <c r="C31" s="2"/>
      <c r="D31" s="2"/>
      <c r="E31" s="2"/>
      <c r="F31" s="2"/>
      <c r="G31" s="2"/>
      <c r="H31" s="2"/>
      <c r="I31" s="2"/>
      <c r="J31" s="2"/>
    </row>
  </sheetData>
  <mergeCells count="3">
    <mergeCell ref="C1:J1"/>
    <mergeCell ref="F7:H7"/>
    <mergeCell ref="F9:H9"/>
  </mergeCells>
  <dataValidations count="2">
    <dataValidation type="list" allowBlank="1" showInputMessage="1" showErrorMessage="1" sqref="E7" xr:uid="{505E4375-6E3F-460C-8E2E-0361D0C40848}">
      <formula1>Vendor_Name</formula1>
    </dataValidation>
    <dataValidation type="list" allowBlank="1" showInputMessage="1" showErrorMessage="1" sqref="D11:D24" xr:uid="{C0E0AC61-9925-4684-8499-7E694CD3AC5C}">
      <formula1>Item_Name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649A3-CAB7-4D98-A5D8-BAF268D05609}">
  <sheetPr codeName="Sheet2"/>
  <dimension ref="A1:G5"/>
  <sheetViews>
    <sheetView workbookViewId="0">
      <selection activeCell="A2" sqref="A1:A1048576"/>
    </sheetView>
  </sheetViews>
  <sheetFormatPr baseColWidth="10" defaultColWidth="8.83203125" defaultRowHeight="15" x14ac:dyDescent="0.2"/>
  <cols>
    <col min="1" max="1" width="9" style="40"/>
    <col min="2" max="2" width="19.6640625" style="41" customWidth="1"/>
    <col min="4" max="4" width="23.5" customWidth="1"/>
    <col min="5" max="5" width="17.83203125" customWidth="1"/>
    <col min="6" max="6" width="15.6640625" customWidth="1"/>
    <col min="7" max="7" width="14.5" customWidth="1"/>
  </cols>
  <sheetData>
    <row r="1" spans="1:7" ht="21" x14ac:dyDescent="0.25">
      <c r="A1" s="66" t="s">
        <v>37</v>
      </c>
      <c r="B1" s="66"/>
      <c r="C1" s="66"/>
      <c r="D1" s="66"/>
      <c r="E1" s="66"/>
      <c r="F1" s="66"/>
      <c r="G1" s="66"/>
    </row>
    <row r="2" spans="1:7" x14ac:dyDescent="0.2">
      <c r="A2" s="58" t="s">
        <v>26</v>
      </c>
      <c r="B2" s="57" t="s">
        <v>38</v>
      </c>
      <c r="C2" s="35" t="s">
        <v>39</v>
      </c>
      <c r="D2" s="35" t="s">
        <v>10</v>
      </c>
      <c r="E2" s="35" t="s">
        <v>40</v>
      </c>
      <c r="F2" s="35" t="s">
        <v>41</v>
      </c>
      <c r="G2" s="35" t="s">
        <v>42</v>
      </c>
    </row>
    <row r="3" spans="1:7" x14ac:dyDescent="0.2">
      <c r="A3" s="40">
        <v>1</v>
      </c>
      <c r="B3" s="41">
        <v>43850</v>
      </c>
      <c r="C3" t="s">
        <v>5</v>
      </c>
      <c r="D3" t="s">
        <v>62</v>
      </c>
      <c r="E3" t="s">
        <v>113</v>
      </c>
      <c r="F3" t="s">
        <v>114</v>
      </c>
      <c r="G3" t="s">
        <v>115</v>
      </c>
    </row>
    <row r="4" spans="1:7" x14ac:dyDescent="0.2">
      <c r="A4" s="40">
        <v>2</v>
      </c>
      <c r="B4" s="41">
        <v>44519.839953703704</v>
      </c>
      <c r="C4" t="s">
        <v>5</v>
      </c>
      <c r="D4" t="s">
        <v>62</v>
      </c>
      <c r="E4" t="s">
        <v>116</v>
      </c>
      <c r="F4" t="s">
        <v>121</v>
      </c>
      <c r="G4" t="s">
        <v>117</v>
      </c>
    </row>
    <row r="5" spans="1:7" x14ac:dyDescent="0.2">
      <c r="A5" s="40">
        <v>3</v>
      </c>
      <c r="B5" s="41">
        <v>44519.910219907404</v>
      </c>
      <c r="C5" t="s">
        <v>5</v>
      </c>
      <c r="D5" t="s">
        <v>64</v>
      </c>
      <c r="E5" t="s">
        <v>118</v>
      </c>
      <c r="F5" t="s">
        <v>119</v>
      </c>
      <c r="G5" t="s">
        <v>120</v>
      </c>
    </row>
  </sheetData>
  <mergeCells count="1">
    <mergeCell ref="A1:G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4DDA5-CFBC-4E3F-961A-45C08D309D95}">
  <sheetPr codeName="Sheet3"/>
  <dimension ref="A1:E7"/>
  <sheetViews>
    <sheetView workbookViewId="0">
      <selection activeCell="E8" sqref="E8"/>
    </sheetView>
  </sheetViews>
  <sheetFormatPr baseColWidth="10" defaultColWidth="8.83203125" defaultRowHeight="15" x14ac:dyDescent="0.2"/>
  <cols>
    <col min="1" max="1" width="22.6640625" customWidth="1"/>
    <col min="2" max="2" width="25.1640625" customWidth="1"/>
    <col min="3" max="3" width="22.83203125" customWidth="1"/>
    <col min="4" max="4" width="14" customWidth="1"/>
  </cols>
  <sheetData>
    <row r="1" spans="1:5" ht="21" x14ac:dyDescent="0.2">
      <c r="A1" s="67" t="s">
        <v>46</v>
      </c>
      <c r="B1" s="67"/>
      <c r="C1" s="67"/>
      <c r="D1" s="67"/>
      <c r="E1" s="67"/>
    </row>
    <row r="2" spans="1:5" x14ac:dyDescent="0.2">
      <c r="A2" s="37" t="s">
        <v>47</v>
      </c>
      <c r="B2" s="37" t="s">
        <v>48</v>
      </c>
      <c r="C2" s="37" t="s">
        <v>49</v>
      </c>
      <c r="D2" s="37" t="s">
        <v>50</v>
      </c>
      <c r="E2" s="37" t="s">
        <v>51</v>
      </c>
    </row>
    <row r="3" spans="1:5" x14ac:dyDescent="0.2">
      <c r="A3" t="s">
        <v>62</v>
      </c>
      <c r="B3" t="s">
        <v>67</v>
      </c>
      <c r="C3" t="s">
        <v>72</v>
      </c>
      <c r="D3" t="s">
        <v>77</v>
      </c>
      <c r="E3" s="62" t="s">
        <v>82</v>
      </c>
    </row>
    <row r="4" spans="1:5" x14ac:dyDescent="0.2">
      <c r="A4" t="s">
        <v>63</v>
      </c>
      <c r="B4" t="s">
        <v>71</v>
      </c>
      <c r="C4" t="s">
        <v>73</v>
      </c>
      <c r="D4" t="s">
        <v>78</v>
      </c>
      <c r="E4" s="62" t="s">
        <v>83</v>
      </c>
    </row>
    <row r="5" spans="1:5" x14ac:dyDescent="0.2">
      <c r="A5" t="s">
        <v>64</v>
      </c>
      <c r="B5" t="s">
        <v>68</v>
      </c>
      <c r="C5" t="s">
        <v>74</v>
      </c>
      <c r="D5" t="s">
        <v>79</v>
      </c>
      <c r="E5" s="62" t="s">
        <v>84</v>
      </c>
    </row>
    <row r="6" spans="1:5" x14ac:dyDescent="0.2">
      <c r="A6" t="s">
        <v>65</v>
      </c>
      <c r="B6" t="s">
        <v>69</v>
      </c>
      <c r="C6" t="s">
        <v>75</v>
      </c>
      <c r="D6" t="s">
        <v>80</v>
      </c>
      <c r="E6" s="62" t="s">
        <v>85</v>
      </c>
    </row>
    <row r="7" spans="1:5" x14ac:dyDescent="0.2">
      <c r="A7" t="s">
        <v>66</v>
      </c>
      <c r="B7" t="s">
        <v>70</v>
      </c>
      <c r="C7" t="s">
        <v>76</v>
      </c>
      <c r="D7" t="s">
        <v>81</v>
      </c>
      <c r="E7" s="62" t="s">
        <v>86</v>
      </c>
    </row>
  </sheetData>
  <mergeCells count="1">
    <mergeCell ref="A1:E1"/>
  </mergeCells>
  <hyperlinks>
    <hyperlink ref="E3" r:id="rId1" xr:uid="{0A09F1DC-296D-4E8B-98DF-62C1A30DEF01}"/>
    <hyperlink ref="E4" r:id="rId2" xr:uid="{49A98510-980F-4B64-9D16-4683EBA61062}"/>
    <hyperlink ref="E5" r:id="rId3" xr:uid="{7828C94C-79DE-47C3-9735-B65E46EE101F}"/>
    <hyperlink ref="E6" r:id="rId4" xr:uid="{137DA312-61FE-469C-A74D-26A71BA141C9}"/>
    <hyperlink ref="E7" r:id="rId5" xr:uid="{F876D24A-9995-4EFE-9AB9-AC2D35933A88}"/>
  </hyperlink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E9FE-5CC3-44B6-A5CE-9A7CF57C478C}">
  <sheetPr codeName="Sheet4"/>
  <dimension ref="A1:R15"/>
  <sheetViews>
    <sheetView workbookViewId="0">
      <selection activeCell="B23" sqref="B23"/>
    </sheetView>
  </sheetViews>
  <sheetFormatPr baseColWidth="10" defaultColWidth="8.83203125" defaultRowHeight="15" x14ac:dyDescent="0.2"/>
  <cols>
    <col min="1" max="1" width="14" customWidth="1"/>
    <col min="2" max="2" width="23.33203125" customWidth="1"/>
    <col min="5" max="5" width="24.33203125" customWidth="1"/>
    <col min="6" max="6" width="11.83203125" customWidth="1"/>
    <col min="7" max="7" width="15.1640625" customWidth="1"/>
    <col min="9" max="9" width="23" customWidth="1"/>
    <col min="12" max="12" width="11.1640625" customWidth="1"/>
    <col min="13" max="13" width="15.1640625" customWidth="1"/>
    <col min="14" max="14" width="12.5" customWidth="1"/>
    <col min="15" max="15" width="10.6640625" customWidth="1"/>
    <col min="16" max="16" width="9.33203125" customWidth="1"/>
    <col min="17" max="17" width="12.33203125" customWidth="1"/>
    <col min="18" max="18" width="14.6640625" customWidth="1"/>
  </cols>
  <sheetData>
    <row r="1" spans="1:18" ht="24" x14ac:dyDescent="0.3">
      <c r="A1" s="68" t="s">
        <v>31</v>
      </c>
      <c r="B1" s="68"/>
      <c r="C1" s="68"/>
      <c r="D1" s="68"/>
      <c r="E1" s="68"/>
      <c r="F1" s="68"/>
      <c r="G1" s="68"/>
      <c r="I1" s="60" t="s">
        <v>52</v>
      </c>
      <c r="L1" s="69" t="s">
        <v>61</v>
      </c>
      <c r="M1" s="69"/>
      <c r="N1" s="69"/>
      <c r="O1" s="69"/>
      <c r="P1" s="69"/>
      <c r="Q1" s="69"/>
      <c r="R1" s="69"/>
    </row>
    <row r="2" spans="1:18" x14ac:dyDescent="0.2">
      <c r="A2" s="45" t="s">
        <v>32</v>
      </c>
      <c r="B2" s="44" t="s">
        <v>33</v>
      </c>
      <c r="C2" s="44" t="s">
        <v>59</v>
      </c>
      <c r="D2" s="44" t="s">
        <v>34</v>
      </c>
      <c r="E2" s="44" t="s">
        <v>10</v>
      </c>
      <c r="F2" s="44" t="s">
        <v>60</v>
      </c>
      <c r="G2" s="44" t="s">
        <v>35</v>
      </c>
      <c r="H2" s="31"/>
      <c r="I2" s="59" t="s">
        <v>10</v>
      </c>
      <c r="L2" s="61" t="s">
        <v>32</v>
      </c>
      <c r="M2" s="61" t="s">
        <v>33</v>
      </c>
      <c r="N2" s="61" t="s">
        <v>59</v>
      </c>
      <c r="O2" s="61" t="s">
        <v>34</v>
      </c>
      <c r="P2" s="61" t="s">
        <v>10</v>
      </c>
      <c r="Q2" s="61" t="s">
        <v>60</v>
      </c>
      <c r="R2" s="61" t="s">
        <v>35</v>
      </c>
    </row>
    <row r="3" spans="1:18" x14ac:dyDescent="0.2">
      <c r="A3" s="3" t="s">
        <v>87</v>
      </c>
      <c r="B3" s="31" t="s">
        <v>100</v>
      </c>
      <c r="C3" s="31">
        <v>5</v>
      </c>
      <c r="D3" s="34">
        <v>15</v>
      </c>
      <c r="E3" s="31" t="s">
        <v>62</v>
      </c>
      <c r="F3" s="31" cm="1">
        <f t="array" aca="1" ref="F3" ca="1">SUMIF(PurchItemName,A3,ItemsPurch)-SUMIF(SoldItemName,A3,ItemsSold)</f>
        <v>-5</v>
      </c>
      <c r="G3" s="31">
        <v>5</v>
      </c>
      <c r="I3" t="str">
        <f>Items!E7</f>
        <v>CompanyE</v>
      </c>
      <c r="L3" s="3" t="s">
        <v>91</v>
      </c>
      <c r="M3" s="31" t="s">
        <v>104</v>
      </c>
      <c r="N3" s="31">
        <v>5</v>
      </c>
      <c r="O3" s="34">
        <v>19</v>
      </c>
      <c r="P3" s="31" t="s">
        <v>66</v>
      </c>
      <c r="Q3" s="31">
        <v>0</v>
      </c>
      <c r="R3" s="31">
        <v>5</v>
      </c>
    </row>
    <row r="4" spans="1:18" x14ac:dyDescent="0.2">
      <c r="A4" s="3" t="s">
        <v>88</v>
      </c>
      <c r="B4" s="31" t="s">
        <v>101</v>
      </c>
      <c r="C4" s="31">
        <v>5</v>
      </c>
      <c r="D4" s="34">
        <v>18</v>
      </c>
      <c r="E4" s="31" t="s">
        <v>63</v>
      </c>
      <c r="F4" s="31" cm="1">
        <f t="array" aca="1" ref="F4" ca="1">SUMIF(PurchItemName,A4,ItemsPurch)-SUMIF(SoldItemName,A4,ItemsSold)</f>
        <v>5</v>
      </c>
      <c r="G4" s="31">
        <v>5</v>
      </c>
      <c r="L4" s="3" t="s">
        <v>96</v>
      </c>
      <c r="M4" s="31" t="s">
        <v>109</v>
      </c>
      <c r="N4" s="31">
        <v>5</v>
      </c>
      <c r="O4" s="34">
        <v>21</v>
      </c>
      <c r="P4" s="31" t="s">
        <v>66</v>
      </c>
      <c r="Q4" s="31">
        <v>-5</v>
      </c>
      <c r="R4" s="31">
        <v>5</v>
      </c>
    </row>
    <row r="5" spans="1:18" x14ac:dyDescent="0.2">
      <c r="A5" s="3" t="s">
        <v>89</v>
      </c>
      <c r="B5" s="31" t="s">
        <v>102</v>
      </c>
      <c r="C5" s="31">
        <v>5</v>
      </c>
      <c r="D5" s="34">
        <v>14</v>
      </c>
      <c r="E5" s="31" t="s">
        <v>64</v>
      </c>
      <c r="F5" s="31" cm="1">
        <f t="array" aca="1" ref="F5" ca="1">SUMIF(PurchItemName,A5,ItemsPurch)-SUMIF(SoldItemName,A5,ItemsSold)</f>
        <v>-10</v>
      </c>
      <c r="G5" s="31">
        <v>5</v>
      </c>
      <c r="L5" s="3"/>
      <c r="M5" s="31"/>
      <c r="N5" s="31"/>
      <c r="O5" s="34"/>
      <c r="P5" s="31"/>
      <c r="Q5" s="31"/>
      <c r="R5" s="31"/>
    </row>
    <row r="6" spans="1:18" x14ac:dyDescent="0.2">
      <c r="A6" s="3" t="s">
        <v>90</v>
      </c>
      <c r="B6" s="31" t="s">
        <v>103</v>
      </c>
      <c r="C6" s="31">
        <v>5</v>
      </c>
      <c r="D6" s="34">
        <v>22</v>
      </c>
      <c r="E6" s="31" t="s">
        <v>65</v>
      </c>
      <c r="F6" s="31" cm="1">
        <f t="array" aca="1" ref="F6" ca="1">SUMIF(PurchItemName,A6,ItemsPurch)-SUMIF(SoldItemName,A6,ItemsSold)</f>
        <v>-10</v>
      </c>
      <c r="G6" s="31">
        <v>5</v>
      </c>
      <c r="L6" s="3"/>
      <c r="M6" s="31"/>
      <c r="N6" s="31"/>
      <c r="O6" s="34"/>
      <c r="P6" s="31"/>
      <c r="Q6" s="31"/>
      <c r="R6" s="31"/>
    </row>
    <row r="7" spans="1:18" x14ac:dyDescent="0.2">
      <c r="A7" s="3" t="s">
        <v>91</v>
      </c>
      <c r="B7" s="31" t="s">
        <v>104</v>
      </c>
      <c r="C7" s="31">
        <v>5</v>
      </c>
      <c r="D7" s="34">
        <v>19</v>
      </c>
      <c r="E7" s="31" t="s">
        <v>66</v>
      </c>
      <c r="F7" s="31" cm="1">
        <f t="array" aca="1" ref="F7" ca="1">SUMIF(PurchItemName,A7,ItemsPurch)-SUMIF(SoldItemName,A7,ItemsSold)</f>
        <v>0</v>
      </c>
      <c r="G7" s="31">
        <v>5</v>
      </c>
    </row>
    <row r="8" spans="1:18" x14ac:dyDescent="0.2">
      <c r="A8" s="3" t="s">
        <v>92</v>
      </c>
      <c r="B8" s="31" t="s">
        <v>105</v>
      </c>
      <c r="C8" s="31">
        <v>5</v>
      </c>
      <c r="D8" s="34">
        <v>27</v>
      </c>
      <c r="E8" s="31" t="s">
        <v>62</v>
      </c>
      <c r="F8" s="31" cm="1">
        <f t="array" aca="1" ref="F8" ca="1">SUMIF(PurchItemName,A8,ItemsPurch)-SUMIF(SoldItemName,A8,ItemsSold)</f>
        <v>-5</v>
      </c>
      <c r="G8" s="31">
        <v>5</v>
      </c>
    </row>
    <row r="9" spans="1:18" x14ac:dyDescent="0.2">
      <c r="A9" s="3" t="s">
        <v>93</v>
      </c>
      <c r="B9" s="31" t="s">
        <v>106</v>
      </c>
      <c r="C9" s="31">
        <v>5</v>
      </c>
      <c r="D9" s="34">
        <v>16</v>
      </c>
      <c r="E9" s="31" t="s">
        <v>63</v>
      </c>
      <c r="F9" s="31" cm="1">
        <f t="array" aca="1" ref="F9" ca="1">SUMIF(PurchItemName,A9,ItemsPurch)-SUMIF(SoldItemName,A9,ItemsSold)</f>
        <v>0</v>
      </c>
      <c r="G9" s="31">
        <v>5</v>
      </c>
    </row>
    <row r="10" spans="1:18" x14ac:dyDescent="0.2">
      <c r="A10" s="3" t="s">
        <v>94</v>
      </c>
      <c r="B10" s="31" t="s">
        <v>107</v>
      </c>
      <c r="C10" s="31">
        <v>5</v>
      </c>
      <c r="D10" s="34">
        <v>14</v>
      </c>
      <c r="E10" s="31" t="s">
        <v>64</v>
      </c>
      <c r="F10" s="31" cm="1">
        <f t="array" aca="1" ref="F10" ca="1">SUMIF(PurchItemName,A10,ItemsPurch)-SUMIF(SoldItemName,A10,ItemsSold)</f>
        <v>0</v>
      </c>
      <c r="G10" s="31">
        <v>5</v>
      </c>
    </row>
    <row r="11" spans="1:18" x14ac:dyDescent="0.2">
      <c r="A11" s="3" t="s">
        <v>95</v>
      </c>
      <c r="B11" s="31" t="s">
        <v>108</v>
      </c>
      <c r="C11" s="31">
        <v>5</v>
      </c>
      <c r="D11" s="34">
        <v>14</v>
      </c>
      <c r="E11" s="31" t="s">
        <v>65</v>
      </c>
      <c r="F11" s="31" cm="1">
        <f t="array" aca="1" ref="F11" ca="1">SUMIF(PurchItemName,A11,ItemsPurch)-SUMIF(SoldItemName,A11,ItemsSold)</f>
        <v>0</v>
      </c>
      <c r="G11" s="31">
        <v>5</v>
      </c>
    </row>
    <row r="12" spans="1:18" x14ac:dyDescent="0.2">
      <c r="A12" s="3" t="s">
        <v>96</v>
      </c>
      <c r="B12" s="31" t="s">
        <v>109</v>
      </c>
      <c r="C12" s="31">
        <v>5</v>
      </c>
      <c r="D12" s="34">
        <v>21</v>
      </c>
      <c r="E12" s="31" t="s">
        <v>66</v>
      </c>
      <c r="F12" s="31" cm="1">
        <f t="array" aca="1" ref="F12" ca="1">SUMIF(PurchItemName,A12,ItemsPurch)-SUMIF(SoldItemName,A12,ItemsSold)</f>
        <v>-5</v>
      </c>
      <c r="G12" s="31">
        <v>5</v>
      </c>
    </row>
    <row r="13" spans="1:18" x14ac:dyDescent="0.2">
      <c r="A13" s="3" t="s">
        <v>97</v>
      </c>
      <c r="B13" s="31" t="s">
        <v>110</v>
      </c>
      <c r="C13" s="31">
        <v>5</v>
      </c>
      <c r="D13" s="34">
        <v>22</v>
      </c>
      <c r="E13" s="31" t="s">
        <v>62</v>
      </c>
      <c r="F13" s="31" cm="1">
        <f t="array" aca="1" ref="F13" ca="1">SUMIF(PurchItemName,A13,ItemsPurch)-SUMIF(SoldItemName,A13,ItemsSold)</f>
        <v>0</v>
      </c>
      <c r="G13" s="31">
        <v>5</v>
      </c>
    </row>
    <row r="14" spans="1:18" x14ac:dyDescent="0.2">
      <c r="A14" s="3" t="s">
        <v>98</v>
      </c>
      <c r="B14" s="31" t="s">
        <v>111</v>
      </c>
      <c r="C14" s="31">
        <v>5</v>
      </c>
      <c r="D14" s="34">
        <v>21</v>
      </c>
      <c r="E14" s="31" t="s">
        <v>63</v>
      </c>
      <c r="F14" s="31" cm="1">
        <f t="array" aca="1" ref="F14" ca="1">SUMIF(PurchItemName,A14,ItemsPurch)-SUMIF(SoldItemName,A14,ItemsSold)</f>
        <v>0</v>
      </c>
      <c r="G14" s="31">
        <v>5</v>
      </c>
    </row>
    <row r="15" spans="1:18" x14ac:dyDescent="0.2">
      <c r="A15" s="3" t="s">
        <v>99</v>
      </c>
      <c r="B15" s="31" t="s">
        <v>112</v>
      </c>
      <c r="C15" s="31">
        <v>5</v>
      </c>
      <c r="D15" s="34">
        <v>24</v>
      </c>
      <c r="E15" s="31" t="s">
        <v>64</v>
      </c>
      <c r="F15" s="31" cm="1">
        <f t="array" aca="1" ref="F15" ca="1">SUMIF(PurchItemName,A15,ItemsPurch)-SUMIF(SoldItemName,A15,ItemsSold)</f>
        <v>0</v>
      </c>
      <c r="G15" s="31">
        <v>5</v>
      </c>
    </row>
  </sheetData>
  <mergeCells count="2">
    <mergeCell ref="A1:G1"/>
    <mergeCell ref="L1:R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93330-F066-4079-8D07-A35711C4EC24}">
  <sheetPr codeName="Sheet5"/>
  <dimension ref="A1:Q16"/>
  <sheetViews>
    <sheetView workbookViewId="0">
      <selection activeCell="C10" sqref="C10"/>
    </sheetView>
  </sheetViews>
  <sheetFormatPr baseColWidth="10" defaultColWidth="8.83203125" defaultRowHeight="15" x14ac:dyDescent="0.2"/>
  <cols>
    <col min="2" max="2" width="17" customWidth="1"/>
    <col min="3" max="3" width="16.6640625" customWidth="1"/>
    <col min="4" max="4" width="13.5" customWidth="1"/>
    <col min="13" max="13" width="11.33203125" customWidth="1"/>
  </cols>
  <sheetData>
    <row r="1" spans="1:17" ht="19" x14ac:dyDescent="0.25">
      <c r="A1" s="70" t="s">
        <v>25</v>
      </c>
      <c r="B1" s="70"/>
      <c r="C1" s="70"/>
      <c r="D1" s="70"/>
      <c r="E1" s="70"/>
      <c r="F1" s="70"/>
      <c r="G1" s="70"/>
      <c r="I1" s="38" t="s">
        <v>52</v>
      </c>
      <c r="K1" s="70" t="s">
        <v>53</v>
      </c>
      <c r="L1" s="70"/>
      <c r="M1" s="70"/>
      <c r="N1" s="70"/>
      <c r="O1" s="70"/>
      <c r="P1" s="70"/>
      <c r="Q1" s="70"/>
    </row>
    <row r="2" spans="1:17" x14ac:dyDescent="0.2">
      <c r="A2" s="33" t="s">
        <v>26</v>
      </c>
      <c r="B2" s="33" t="s">
        <v>27</v>
      </c>
      <c r="C2" s="33" t="s">
        <v>28</v>
      </c>
      <c r="D2" s="33" t="s">
        <v>14</v>
      </c>
      <c r="E2" s="33" t="s">
        <v>15</v>
      </c>
      <c r="F2" s="33" t="s">
        <v>29</v>
      </c>
      <c r="G2" s="33" t="s">
        <v>30</v>
      </c>
      <c r="I2" s="33" t="s">
        <v>26</v>
      </c>
      <c r="K2" s="39" t="s">
        <v>26</v>
      </c>
      <c r="L2" s="39" t="s">
        <v>27</v>
      </c>
      <c r="M2" s="39" t="s">
        <v>28</v>
      </c>
      <c r="N2" s="39" t="s">
        <v>14</v>
      </c>
      <c r="O2" s="39" t="s">
        <v>15</v>
      </c>
      <c r="P2" s="39" t="s">
        <v>29</v>
      </c>
      <c r="Q2" s="39" t="s">
        <v>30</v>
      </c>
    </row>
    <row r="3" spans="1:17" x14ac:dyDescent="0.2">
      <c r="A3">
        <v>1</v>
      </c>
      <c r="B3" s="3" t="s">
        <v>88</v>
      </c>
      <c r="C3" t="s">
        <v>101</v>
      </c>
      <c r="D3">
        <v>5</v>
      </c>
      <c r="E3" s="54">
        <v>18</v>
      </c>
      <c r="F3">
        <v>11</v>
      </c>
      <c r="G3">
        <f>ROW()</f>
        <v>3</v>
      </c>
      <c r="I3" s="32">
        <f>'Purchase Order'!H2</f>
        <v>1</v>
      </c>
      <c r="K3">
        <v>1</v>
      </c>
      <c r="L3" s="3" t="s">
        <v>88</v>
      </c>
      <c r="M3" t="s">
        <v>101</v>
      </c>
      <c r="N3">
        <v>5</v>
      </c>
      <c r="O3" s="54">
        <v>18</v>
      </c>
      <c r="P3">
        <v>11</v>
      </c>
      <c r="Q3">
        <v>3</v>
      </c>
    </row>
    <row r="4" spans="1:17" x14ac:dyDescent="0.2">
      <c r="A4">
        <v>1</v>
      </c>
      <c r="B4" t="s">
        <v>91</v>
      </c>
      <c r="C4" t="s">
        <v>104</v>
      </c>
      <c r="D4">
        <v>5</v>
      </c>
      <c r="E4" s="54">
        <v>19</v>
      </c>
      <c r="F4">
        <v>12</v>
      </c>
      <c r="G4">
        <f>ROW()</f>
        <v>4</v>
      </c>
      <c r="K4">
        <v>1</v>
      </c>
      <c r="L4" t="s">
        <v>91</v>
      </c>
      <c r="M4" t="s">
        <v>104</v>
      </c>
      <c r="N4">
        <v>5</v>
      </c>
      <c r="O4" s="54">
        <v>19</v>
      </c>
      <c r="P4">
        <v>12</v>
      </c>
      <c r="Q4">
        <v>4</v>
      </c>
    </row>
    <row r="5" spans="1:17" x14ac:dyDescent="0.2">
      <c r="A5">
        <v>1</v>
      </c>
      <c r="B5" t="s">
        <v>97</v>
      </c>
      <c r="C5" t="s">
        <v>110</v>
      </c>
      <c r="D5">
        <v>5</v>
      </c>
      <c r="E5" s="54">
        <v>22</v>
      </c>
      <c r="F5">
        <v>13</v>
      </c>
      <c r="G5">
        <f>ROW()</f>
        <v>5</v>
      </c>
      <c r="K5">
        <v>1</v>
      </c>
      <c r="L5" t="s">
        <v>97</v>
      </c>
      <c r="M5" t="s">
        <v>110</v>
      </c>
      <c r="N5">
        <v>5</v>
      </c>
      <c r="O5" s="54">
        <v>22</v>
      </c>
      <c r="P5">
        <v>13</v>
      </c>
      <c r="Q5">
        <v>5</v>
      </c>
    </row>
    <row r="6" spans="1:17" x14ac:dyDescent="0.2">
      <c r="A6">
        <v>1</v>
      </c>
      <c r="B6" t="s">
        <v>88</v>
      </c>
      <c r="C6" t="s">
        <v>101</v>
      </c>
      <c r="D6">
        <v>5</v>
      </c>
      <c r="E6" s="54">
        <v>18</v>
      </c>
      <c r="F6">
        <v>14</v>
      </c>
      <c r="G6">
        <f>ROW()</f>
        <v>6</v>
      </c>
      <c r="K6">
        <v>1</v>
      </c>
      <c r="L6" t="s">
        <v>88</v>
      </c>
      <c r="M6" t="s">
        <v>101</v>
      </c>
      <c r="N6">
        <v>5</v>
      </c>
      <c r="O6" s="54">
        <v>18</v>
      </c>
      <c r="P6">
        <v>14</v>
      </c>
      <c r="Q6">
        <v>6</v>
      </c>
    </row>
    <row r="7" spans="1:17" x14ac:dyDescent="0.2">
      <c r="A7">
        <v>2</v>
      </c>
      <c r="B7" t="s">
        <v>91</v>
      </c>
      <c r="C7" t="s">
        <v>104</v>
      </c>
      <c r="D7">
        <v>5</v>
      </c>
      <c r="E7" s="54">
        <v>19</v>
      </c>
      <c r="F7">
        <v>11</v>
      </c>
      <c r="G7">
        <f>ROW()</f>
        <v>7</v>
      </c>
      <c r="O7" s="54"/>
    </row>
    <row r="8" spans="1:17" x14ac:dyDescent="0.2">
      <c r="A8">
        <v>2</v>
      </c>
      <c r="B8" t="s">
        <v>88</v>
      </c>
      <c r="C8" t="s">
        <v>101</v>
      </c>
      <c r="D8">
        <v>5</v>
      </c>
      <c r="E8" s="54">
        <v>18</v>
      </c>
      <c r="F8">
        <v>12</v>
      </c>
      <c r="G8">
        <f>ROW()</f>
        <v>8</v>
      </c>
    </row>
    <row r="9" spans="1:17" x14ac:dyDescent="0.2">
      <c r="A9">
        <v>2</v>
      </c>
      <c r="B9" t="s">
        <v>88</v>
      </c>
      <c r="C9" t="s">
        <v>101</v>
      </c>
      <c r="D9">
        <v>5</v>
      </c>
      <c r="E9" s="54">
        <v>18</v>
      </c>
      <c r="F9">
        <v>13</v>
      </c>
      <c r="G9">
        <f>ROW()</f>
        <v>9</v>
      </c>
    </row>
    <row r="10" spans="1:17" x14ac:dyDescent="0.2">
      <c r="A10">
        <v>3</v>
      </c>
      <c r="B10" t="s">
        <v>88</v>
      </c>
      <c r="C10" t="s">
        <v>101</v>
      </c>
      <c r="D10">
        <v>5</v>
      </c>
      <c r="E10" s="54">
        <v>18</v>
      </c>
      <c r="F10">
        <v>11</v>
      </c>
      <c r="G10">
        <f>ROW()</f>
        <v>10</v>
      </c>
    </row>
    <row r="11" spans="1:17" x14ac:dyDescent="0.2">
      <c r="A11">
        <v>3</v>
      </c>
      <c r="B11" t="s">
        <v>89</v>
      </c>
      <c r="C11" t="s">
        <v>102</v>
      </c>
      <c r="D11">
        <v>5</v>
      </c>
      <c r="E11" s="54">
        <v>14</v>
      </c>
      <c r="F11">
        <v>12</v>
      </c>
      <c r="G11">
        <f>ROW()</f>
        <v>11</v>
      </c>
    </row>
    <row r="12" spans="1:17" x14ac:dyDescent="0.2">
      <c r="A12">
        <v>3</v>
      </c>
      <c r="B12" t="s">
        <v>87</v>
      </c>
      <c r="C12" t="s">
        <v>100</v>
      </c>
      <c r="D12">
        <v>5</v>
      </c>
      <c r="E12" s="54">
        <v>15</v>
      </c>
      <c r="F12">
        <v>13</v>
      </c>
      <c r="G12">
        <f>ROW()</f>
        <v>12</v>
      </c>
    </row>
    <row r="13" spans="1:17" x14ac:dyDescent="0.2">
      <c r="A13">
        <v>3</v>
      </c>
      <c r="B13" t="s">
        <v>93</v>
      </c>
      <c r="C13" t="s">
        <v>106</v>
      </c>
      <c r="D13">
        <v>5</v>
      </c>
      <c r="E13" s="54">
        <v>16</v>
      </c>
      <c r="F13">
        <v>14</v>
      </c>
      <c r="G13">
        <f>ROW()</f>
        <v>13</v>
      </c>
    </row>
    <row r="14" spans="1:17" x14ac:dyDescent="0.2">
      <c r="A14">
        <v>3</v>
      </c>
      <c r="B14" t="s">
        <v>87</v>
      </c>
      <c r="C14" t="s">
        <v>100</v>
      </c>
      <c r="D14">
        <v>5</v>
      </c>
      <c r="E14" s="54">
        <v>15</v>
      </c>
      <c r="F14">
        <v>15</v>
      </c>
      <c r="G14">
        <f>ROW()</f>
        <v>14</v>
      </c>
    </row>
    <row r="15" spans="1:17" x14ac:dyDescent="0.2">
      <c r="A15">
        <v>2</v>
      </c>
      <c r="B15" t="s">
        <v>87</v>
      </c>
      <c r="C15" t="s">
        <v>100</v>
      </c>
      <c r="D15">
        <v>5</v>
      </c>
      <c r="E15" s="54">
        <v>15</v>
      </c>
      <c r="F15">
        <v>16</v>
      </c>
      <c r="G15">
        <f>ROW()</f>
        <v>15</v>
      </c>
    </row>
    <row r="16" spans="1:17" x14ac:dyDescent="0.2">
      <c r="A16">
        <v>2</v>
      </c>
      <c r="B16" t="s">
        <v>87</v>
      </c>
      <c r="C16" t="s">
        <v>100</v>
      </c>
      <c r="D16">
        <v>5</v>
      </c>
      <c r="E16" s="54">
        <v>15</v>
      </c>
      <c r="F16">
        <v>17</v>
      </c>
      <c r="G16">
        <f>ROW()</f>
        <v>16</v>
      </c>
    </row>
  </sheetData>
  <mergeCells count="2">
    <mergeCell ref="A1:G1"/>
    <mergeCell ref="K1:Q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6D12F-C881-48AC-8A52-8D30D0DBE543}">
  <sheetPr codeName="Sheet6"/>
  <dimension ref="A1:E28"/>
  <sheetViews>
    <sheetView workbookViewId="0">
      <selection activeCell="D4" sqref="D4"/>
    </sheetView>
  </sheetViews>
  <sheetFormatPr baseColWidth="10" defaultColWidth="8.83203125" defaultRowHeight="15" x14ac:dyDescent="0.2"/>
  <cols>
    <col min="2" max="2" width="12" customWidth="1"/>
    <col min="3" max="3" width="20.1640625" customWidth="1"/>
  </cols>
  <sheetData>
    <row r="1" spans="1:5" x14ac:dyDescent="0.2">
      <c r="A1" s="71" t="s">
        <v>54</v>
      </c>
      <c r="B1" s="71"/>
      <c r="C1" s="71"/>
      <c r="D1" s="71"/>
      <c r="E1" s="71"/>
    </row>
    <row r="2" spans="1:5" x14ac:dyDescent="0.2">
      <c r="A2" s="43" t="s">
        <v>55</v>
      </c>
      <c r="B2" s="43" t="s">
        <v>57</v>
      </c>
      <c r="C2" s="43" t="s">
        <v>32</v>
      </c>
      <c r="D2" s="43" t="s">
        <v>56</v>
      </c>
      <c r="E2" s="43" t="s">
        <v>15</v>
      </c>
    </row>
    <row r="3" spans="1:5" x14ac:dyDescent="0.2">
      <c r="A3" s="40">
        <v>1</v>
      </c>
      <c r="B3" s="41">
        <v>43831</v>
      </c>
      <c r="C3" s="3" t="s">
        <v>87</v>
      </c>
      <c r="D3" s="40">
        <v>5</v>
      </c>
      <c r="E3" s="42">
        <v>14</v>
      </c>
    </row>
    <row r="4" spans="1:5" x14ac:dyDescent="0.2">
      <c r="A4" s="40">
        <v>1</v>
      </c>
      <c r="B4" s="41">
        <v>43831</v>
      </c>
      <c r="C4" s="3" t="s">
        <v>88</v>
      </c>
      <c r="D4" s="40">
        <v>5</v>
      </c>
      <c r="E4" s="42">
        <v>14</v>
      </c>
    </row>
    <row r="5" spans="1:5" x14ac:dyDescent="0.2">
      <c r="A5" s="40">
        <v>1</v>
      </c>
      <c r="B5" s="41">
        <v>43831</v>
      </c>
      <c r="C5" s="3" t="s">
        <v>89</v>
      </c>
      <c r="D5" s="40">
        <v>5</v>
      </c>
      <c r="E5" s="42">
        <v>21</v>
      </c>
    </row>
    <row r="6" spans="1:5" x14ac:dyDescent="0.2">
      <c r="A6" s="40">
        <v>1</v>
      </c>
      <c r="B6" s="41">
        <v>43831</v>
      </c>
      <c r="C6" s="3" t="s">
        <v>90</v>
      </c>
      <c r="D6" s="40">
        <v>5</v>
      </c>
      <c r="E6" s="42">
        <v>22</v>
      </c>
    </row>
    <row r="7" spans="1:5" x14ac:dyDescent="0.2">
      <c r="A7" s="40">
        <v>1</v>
      </c>
      <c r="B7" s="41">
        <v>43831</v>
      </c>
      <c r="C7" s="3" t="s">
        <v>87</v>
      </c>
      <c r="D7" s="40">
        <v>5</v>
      </c>
      <c r="E7" s="42">
        <v>21</v>
      </c>
    </row>
    <row r="8" spans="1:5" x14ac:dyDescent="0.2">
      <c r="A8" s="40">
        <v>1</v>
      </c>
      <c r="B8" s="41">
        <v>43831</v>
      </c>
      <c r="C8" s="3" t="s">
        <v>88</v>
      </c>
      <c r="D8" s="40">
        <v>5</v>
      </c>
      <c r="E8" s="42">
        <v>24</v>
      </c>
    </row>
    <row r="9" spans="1:5" x14ac:dyDescent="0.2">
      <c r="A9" s="40">
        <v>2</v>
      </c>
      <c r="B9" s="41">
        <v>43850</v>
      </c>
      <c r="C9" s="3" t="s">
        <v>92</v>
      </c>
      <c r="D9" s="40">
        <v>5</v>
      </c>
      <c r="E9" s="42">
        <v>15</v>
      </c>
    </row>
    <row r="10" spans="1:5" x14ac:dyDescent="0.2">
      <c r="A10" s="40">
        <v>2</v>
      </c>
      <c r="B10" s="41">
        <v>43850</v>
      </c>
      <c r="C10" s="3" t="s">
        <v>91</v>
      </c>
      <c r="D10" s="40">
        <v>5</v>
      </c>
      <c r="E10" s="42">
        <v>18</v>
      </c>
    </row>
    <row r="11" spans="1:5" x14ac:dyDescent="0.2">
      <c r="A11" s="40">
        <v>2</v>
      </c>
      <c r="B11" s="41">
        <v>43850</v>
      </c>
      <c r="C11" s="3" t="s">
        <v>93</v>
      </c>
      <c r="D11" s="40">
        <v>5</v>
      </c>
      <c r="E11" s="42">
        <v>14</v>
      </c>
    </row>
    <row r="12" spans="1:5" x14ac:dyDescent="0.2">
      <c r="A12" s="40">
        <v>2</v>
      </c>
      <c r="B12" s="41">
        <v>43850</v>
      </c>
      <c r="C12" s="3" t="s">
        <v>87</v>
      </c>
      <c r="D12" s="40">
        <v>5</v>
      </c>
      <c r="E12" s="42">
        <v>22</v>
      </c>
    </row>
    <row r="13" spans="1:5" x14ac:dyDescent="0.2">
      <c r="A13" s="40">
        <v>2</v>
      </c>
      <c r="B13" s="41">
        <v>43850</v>
      </c>
      <c r="C13" s="3" t="s">
        <v>88</v>
      </c>
      <c r="D13" s="40">
        <v>5</v>
      </c>
      <c r="E13" s="42">
        <v>19</v>
      </c>
    </row>
    <row r="14" spans="1:5" x14ac:dyDescent="0.2">
      <c r="A14" s="40">
        <v>2</v>
      </c>
      <c r="B14" s="41">
        <v>43850</v>
      </c>
      <c r="C14" s="3" t="s">
        <v>89</v>
      </c>
      <c r="D14" s="40">
        <v>5</v>
      </c>
      <c r="E14" s="42">
        <v>27</v>
      </c>
    </row>
    <row r="15" spans="1:5" x14ac:dyDescent="0.2">
      <c r="A15" s="40">
        <v>2</v>
      </c>
      <c r="B15" s="41">
        <v>43850</v>
      </c>
      <c r="C15" s="3" t="s">
        <v>97</v>
      </c>
      <c r="D15" s="40">
        <v>5</v>
      </c>
      <c r="E15" s="42">
        <v>16</v>
      </c>
    </row>
    <row r="16" spans="1:5" x14ac:dyDescent="0.2">
      <c r="A16" s="40">
        <v>3</v>
      </c>
      <c r="B16" s="41">
        <v>43851</v>
      </c>
      <c r="C16" s="3" t="s">
        <v>96</v>
      </c>
      <c r="D16" s="40">
        <v>5</v>
      </c>
      <c r="E16" s="42">
        <v>15</v>
      </c>
    </row>
    <row r="17" spans="1:5" x14ac:dyDescent="0.2">
      <c r="A17" s="40">
        <v>3</v>
      </c>
      <c r="B17" s="41">
        <v>43851</v>
      </c>
      <c r="C17" s="3" t="s">
        <v>88</v>
      </c>
      <c r="D17" s="40">
        <v>5</v>
      </c>
      <c r="E17" s="42">
        <v>18</v>
      </c>
    </row>
    <row r="18" spans="1:5" x14ac:dyDescent="0.2">
      <c r="A18" s="40">
        <v>3</v>
      </c>
      <c r="B18" s="41">
        <v>43851</v>
      </c>
      <c r="C18" s="3" t="s">
        <v>87</v>
      </c>
      <c r="D18" s="40">
        <v>5</v>
      </c>
      <c r="E18" s="42">
        <v>14</v>
      </c>
    </row>
    <row r="19" spans="1:5" x14ac:dyDescent="0.2">
      <c r="A19" s="40">
        <v>3</v>
      </c>
      <c r="B19" s="41">
        <v>43851</v>
      </c>
      <c r="C19" s="3" t="s">
        <v>89</v>
      </c>
      <c r="D19" s="40">
        <v>5</v>
      </c>
      <c r="E19" s="42">
        <v>22</v>
      </c>
    </row>
    <row r="20" spans="1:5" x14ac:dyDescent="0.2">
      <c r="A20" s="40">
        <v>3</v>
      </c>
      <c r="B20" s="41">
        <v>43851</v>
      </c>
      <c r="C20" s="3" t="s">
        <v>90</v>
      </c>
      <c r="D20" s="40">
        <v>5</v>
      </c>
      <c r="E20" s="42">
        <v>19</v>
      </c>
    </row>
    <row r="21" spans="1:5" x14ac:dyDescent="0.2">
      <c r="A21" s="40">
        <v>3</v>
      </c>
      <c r="B21" s="41">
        <v>43851</v>
      </c>
      <c r="C21" s="3" t="s">
        <v>91</v>
      </c>
      <c r="D21" s="40">
        <v>5</v>
      </c>
      <c r="E21" s="42">
        <v>27</v>
      </c>
    </row>
    <row r="22" spans="1:5" x14ac:dyDescent="0.2">
      <c r="A22" s="40">
        <v>3</v>
      </c>
      <c r="B22" s="41">
        <v>43851</v>
      </c>
      <c r="C22" s="3" t="s">
        <v>87</v>
      </c>
      <c r="D22" s="40">
        <v>5</v>
      </c>
      <c r="E22" s="42">
        <v>16</v>
      </c>
    </row>
    <row r="23" spans="1:5" x14ac:dyDescent="0.2">
      <c r="C23" s="3"/>
    </row>
    <row r="24" spans="1:5" x14ac:dyDescent="0.2">
      <c r="C24" s="3"/>
    </row>
    <row r="25" spans="1:5" x14ac:dyDescent="0.2">
      <c r="C25" s="3"/>
    </row>
    <row r="26" spans="1:5" x14ac:dyDescent="0.2">
      <c r="C26" s="3"/>
    </row>
    <row r="27" spans="1:5" x14ac:dyDescent="0.2">
      <c r="C27" s="3"/>
    </row>
    <row r="28" spans="1:5" x14ac:dyDescent="0.2">
      <c r="C28" s="3"/>
    </row>
  </sheetData>
  <mergeCells count="1">
    <mergeCell ref="A1:E1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F45754558FC246A97F25ECBCA423EE" ma:contentTypeVersion="2" ma:contentTypeDescription="Create a new document." ma:contentTypeScope="" ma:versionID="a90008a2c4a2e9bdf61d01a089ce2d4d">
  <xsd:schema xmlns:xsd="http://www.w3.org/2001/XMLSchema" xmlns:xs="http://www.w3.org/2001/XMLSchema" xmlns:p="http://schemas.microsoft.com/office/2006/metadata/properties" xmlns:ns3="612d4b61-6a66-4ee1-9415-3298b2a7c61c" targetNamespace="http://schemas.microsoft.com/office/2006/metadata/properties" ma:root="true" ma:fieldsID="72942d18c67c80d6deb8050ea204b82d" ns3:_="">
    <xsd:import namespace="612d4b61-6a66-4ee1-9415-3298b2a7c61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d4b61-6a66-4ee1-9415-3298b2a7c6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1840FB-8F78-4CAE-83D1-2F15D922D90E}">
  <ds:schemaRefs>
    <ds:schemaRef ds:uri="http://purl.org/dc/elements/1.1/"/>
    <ds:schemaRef ds:uri="http://schemas.openxmlformats.org/package/2006/metadata/core-properties"/>
    <ds:schemaRef ds:uri="http://purl.org/dc/dcmitype/"/>
    <ds:schemaRef ds:uri="612d4b61-6a66-4ee1-9415-3298b2a7c61c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F731746-82ED-47EF-A820-545D13F452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d4b61-6a66-4ee1-9415-3298b2a7c6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3521A87-68CD-4DD1-B5E1-557747C33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Purchase Order</vt:lpstr>
      <vt:lpstr>PO List</vt:lpstr>
      <vt:lpstr>Vendors</vt:lpstr>
      <vt:lpstr>Items</vt:lpstr>
      <vt:lpstr>Purchased Items</vt:lpstr>
      <vt:lpstr>Sold Items</vt:lpstr>
      <vt:lpstr>Items!Criteria</vt:lpstr>
      <vt:lpstr>'Purchased Items'!Criteria</vt:lpstr>
      <vt:lpstr>Items!Extract</vt:lpstr>
      <vt:lpstr>'Purchased Items'!Extract</vt:lpstr>
      <vt:lpstr>'Purchase Order'!Print_Area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T</dc:creator>
  <cp:lastModifiedBy>Microsoft Office User</cp:lastModifiedBy>
  <cp:lastPrinted>2021-11-27T00:04:04Z</cp:lastPrinted>
  <dcterms:created xsi:type="dcterms:W3CDTF">2021-11-18T12:54:52Z</dcterms:created>
  <dcterms:modified xsi:type="dcterms:W3CDTF">2021-11-27T00:04:55Z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0x010100A0F45754558FC246A97F25ECBCA423EE</vt:lpwstr>
  </property>
</Properties>
</file>